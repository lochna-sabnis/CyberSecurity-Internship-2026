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ssment Log" sheetId="1" state="visible" r:id="rId3"/>
    <sheet name="Findings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<sst xmlns="http://schemas.openxmlformats.org/spreadsheetml/2006/main" count="180" uniqueCount="124">
  <si>
    <t xml:space="preserve">Task 4.1 — Structured Security Assessment Log (OWASP Juice Shop)</t>
  </si>
  <si>
    <t xml:space="preserve">Target: http://localhost:3000 | Tester: Lochna Sabnis | Skill Set Go EduTech — Cybersecurity Internship, Week 4</t>
  </si>
  <si>
    <t xml:space="preserve">Log ID</t>
  </si>
  <si>
    <t xml:space="preserve">Phase</t>
  </si>
  <si>
    <t xml:space="preserve">Action / Tool</t>
  </si>
  <si>
    <t xml:space="preserve">Command</t>
  </si>
  <si>
    <t xml:space="preserve">Observation</t>
  </si>
  <si>
    <t xml:space="preserve">Evidence</t>
  </si>
  <si>
    <t xml:space="preserve">Status</t>
  </si>
  <si>
    <t xml:space="preserve">A-001</t>
  </si>
  <si>
    <t xml:space="preserve">Recon</t>
  </si>
  <si>
    <t xml:space="preserve">Confirm target is up</t>
  </si>
  <si>
    <t xml:space="preserve">curl -I http://localhost:3000</t>
  </si>
  <si>
    <t xml:space="preserve">HTTP/1.1 200 OK returned — Juice Shop reachable on port 3000</t>
  </si>
  <si>
    <t xml:space="preserve">A001.png</t>
  </si>
  <si>
    <t xml:space="preserve">Done</t>
  </si>
  <si>
    <t xml:space="preserve">A-002</t>
  </si>
  <si>
    <t xml:space="preserve">Port and service scan</t>
  </si>
  <si>
    <t xml:space="preserve">nmap -sV -p- localhost</t>
  </si>
  <si>
    <t xml:space="preserve">2 open ports: 3000/tcp (Juice Shop) and 34979/tcp (unexpected Golang net/http server)</t>
  </si>
  <si>
    <t xml:space="preserve">A002.png</t>
  </si>
  <si>
    <t xml:space="preserve">A-003</t>
  </si>
  <si>
    <t xml:space="preserve">Technology fingerprinting</t>
  </si>
  <si>
    <t xml:space="preserve">whatweb http://localhost:3000</t>
  </si>
  <si>
    <t xml:space="preserve">HTML5 app, JS modules, title 'OWASP Juice Shop'; flags uncommon headers (CORS wildcard, x-recruiting)</t>
  </si>
  <si>
    <t xml:space="preserve">A003.png</t>
  </si>
  <si>
    <t xml:space="preserve">A-004</t>
  </si>
  <si>
    <t xml:space="preserve">Review HTTP security headers</t>
  </si>
  <si>
    <t xml:space="preserve">X-Content-Type-Options and X-Frame-Options present (good); Content-Security-Policy MISSING; Access-Control-Allow-Origin: * (wildcard CORS)</t>
  </si>
  <si>
    <t xml:space="preserve">A004.png</t>
  </si>
  <si>
    <t xml:space="preserve">A-005</t>
  </si>
  <si>
    <t xml:space="preserve">Enumeration</t>
  </si>
  <si>
    <t xml:space="preserve">Directory brute force</t>
  </si>
  <si>
    <t xml:space="preserve">gobuster dir -u http://localhost:3000 -w /usr/share/wordlists/dirb/common.txt --exclude-length 9393</t>
  </si>
  <si>
    <t xml:space="preserve">Found /api, /apis (500 errors), /assets (redirect), /ftp (200 OK — real content). Scan hit rate-limiting/connection resets partway through</t>
  </si>
  <si>
    <t xml:space="preserve">A005.png</t>
  </si>
  <si>
    <t xml:space="preserve">A-006</t>
  </si>
  <si>
    <t xml:space="preserve">Check robots.txt and exposed folders</t>
  </si>
  <si>
    <t xml:space="preserve">Browse /robots.txt and /ftp</t>
  </si>
  <si>
    <t xml:space="preserve">robots.txt explicitly disallows /ftp — inadvertently reveals the path's existence</t>
  </si>
  <si>
    <t xml:space="preserve">A006.png</t>
  </si>
  <si>
    <t xml:space="preserve">A-007</t>
  </si>
  <si>
    <t xml:space="preserve">Map API endpoints</t>
  </si>
  <si>
    <t xml:space="preserve">Dev tools Network tab; review /rest/products/search?q= and /api/ routes</t>
  </si>
  <si>
    <t xml:space="preserve">Not performed in this assessment</t>
  </si>
  <si>
    <t xml:space="preserve">N/A</t>
  </si>
  <si>
    <t xml:space="preserve">Skipped — scope limitation</t>
  </si>
  <si>
    <t xml:space="preserve">A-008</t>
  </si>
  <si>
    <t xml:space="preserve">Scanning</t>
  </si>
  <si>
    <t xml:space="preserve">Web server scan</t>
  </si>
  <si>
    <t xml:space="preserve">nikto -h http://localhost:3000</t>
  </si>
  <si>
    <t xml:space="preserve">A-009</t>
  </si>
  <si>
    <t xml:space="preserve">Automated scan with ZAP</t>
  </si>
  <si>
    <t xml:space="preserve">ZAP automated/baseline scan against http://localhost:3000</t>
  </si>
  <si>
    <t xml:space="preserve">A-010</t>
  </si>
  <si>
    <t xml:space="preserve">Manual testing</t>
  </si>
  <si>
    <t xml:space="preserve">SQL injection on login</t>
  </si>
  <si>
    <t xml:space="preserve">Enter ' OR 1=1-- in the email field with any password</t>
  </si>
  <si>
    <t xml:space="preserve">Authentication bypassed entirely — logged in without valid credentials (confirmed in Task 2.2)</t>
  </si>
  <si>
    <t xml:space="preserve">Week2 SQLi screenshot</t>
  </si>
  <si>
    <t xml:space="preserve">A-011</t>
  </si>
  <si>
    <t xml:space="preserve">XSS in search</t>
  </si>
  <si>
    <t xml:space="preserve">Submit &lt;iframe src="javascript:alert('xss')"&gt; in the search box</t>
  </si>
  <si>
    <t xml:space="preserve">Script executed successfully — alert box triggered (confirmed in Task 2.2)</t>
  </si>
  <si>
    <t xml:space="preserve">Week2 XSS screenshot</t>
  </si>
  <si>
    <t xml:space="preserve">A-012</t>
  </si>
  <si>
    <t xml:space="preserve">Broken access control</t>
  </si>
  <si>
    <t xml:space="preserve">Open /#/administration as a normal user; modify basket ID (IDOR)</t>
  </si>
  <si>
    <t xml:space="preserve">A-013</t>
  </si>
  <si>
    <t xml:space="preserve">Sensitive data exposure</t>
  </si>
  <si>
    <t xml:space="preserve">Browse /ftp and review exposed files</t>
  </si>
  <si>
    <t xml:space="preserve">Directory browsable — exposed files include incident-support.kdbx (password DB), legal.md, acquisitions.md, .bak backup files</t>
  </si>
  <si>
    <t xml:space="preserve">A013.png</t>
  </si>
  <si>
    <t xml:space="preserve">A-014</t>
  </si>
  <si>
    <t xml:space="preserve">Weak authentication</t>
  </si>
  <si>
    <t xml:space="preserve">Test password policy and repeated failed logins for lockout</t>
  </si>
  <si>
    <t xml:space="preserve">A-015</t>
  </si>
  <si>
    <t xml:space="preserve">Session and token review</t>
  </si>
  <si>
    <t xml:space="preserve">Capture JWT in dev tools; inspect cookie flags</t>
  </si>
  <si>
    <t xml:space="preserve">Session cookie (JWT) found with HttpOnly: false, Secure: false, SameSite: None (confirmed in Task 2.3)</t>
  </si>
  <si>
    <t xml:space="preserve">Week2 cookie screenshot</t>
  </si>
  <si>
    <t xml:space="preserve">A-016</t>
  </si>
  <si>
    <t xml:space="preserve">Error handling</t>
  </si>
  <si>
    <t xml:space="preserve">Send malformed requests and review error messages</t>
  </si>
  <si>
    <t xml:space="preserve">A-017</t>
  </si>
  <si>
    <t xml:space="preserve">Input validation</t>
  </si>
  <si>
    <t xml:space="preserve">Submit unexpected values (long, negative, special chars) in forms</t>
  </si>
  <si>
    <t xml:space="preserve">Findings Summary — Severity &amp; OWASP Mapping</t>
  </si>
  <si>
    <t xml:space="preserve">ID</t>
  </si>
  <si>
    <t xml:space="preserve">Vulnerability</t>
  </si>
  <si>
    <t xml:space="preserve">OWASP Top 10 (2021)</t>
  </si>
  <si>
    <t xml:space="preserve">Severity</t>
  </si>
  <si>
    <t xml:space="preserve">F-01</t>
  </si>
  <si>
    <t xml:space="preserve">SQL Injection (login bypass)</t>
  </si>
  <si>
    <t xml:space="preserve">A03 Injection</t>
  </si>
  <si>
    <t xml:space="preserve">Critical</t>
  </si>
  <si>
    <t xml:space="preserve">A010.png</t>
  </si>
  <si>
    <t xml:space="preserve">F-02</t>
  </si>
  <si>
    <t xml:space="preserve">Cross-Site Scripting (XSS)</t>
  </si>
  <si>
    <t xml:space="preserve">High</t>
  </si>
  <si>
    <t xml:space="preserve">A011.png</t>
  </si>
  <si>
    <t xml:space="preserve">F-03</t>
  </si>
  <si>
    <t xml:space="preserve">Insecure session/token handling (missing HttpOnly/Secure flags)</t>
  </si>
  <si>
    <t xml:space="preserve">A07 Identification and Authentication Failures</t>
  </si>
  <si>
    <t xml:space="preserve">A015.png</t>
  </si>
  <si>
    <t xml:space="preserve">F-04</t>
  </si>
  <si>
    <t xml:space="preserve">Exposed directory with sensitive files (/ftp)</t>
  </si>
  <si>
    <t xml:space="preserve">A05 Security Misconfiguration</t>
  </si>
  <si>
    <t xml:space="preserve">F-05</t>
  </si>
  <si>
    <t xml:space="preserve">Missing Content-Security-Policy header</t>
  </si>
  <si>
    <t xml:space="preserve">Medium</t>
  </si>
  <si>
    <t xml:space="preserve">F-06</t>
  </si>
  <si>
    <t xml:space="preserve">Wildcard CORS policy (Access-Control-Allow-Origin: *)</t>
  </si>
  <si>
    <t xml:space="preserve">F-07</t>
  </si>
  <si>
    <t xml:space="preserve">Information disclosure via robots.txt</t>
  </si>
  <si>
    <t xml:space="preserve">Low</t>
  </si>
  <si>
    <t xml:space="preserve">F-08</t>
  </si>
  <si>
    <t xml:space="preserve">Unexpected open port (34979, unrelated Golang service)</t>
  </si>
  <si>
    <t xml:space="preserve">Summary</t>
  </si>
  <si>
    <t xml:space="preserve">Total findings:</t>
  </si>
  <si>
    <t xml:space="preserve">Critical:</t>
  </si>
  <si>
    <t xml:space="preserve">High:</t>
  </si>
  <si>
    <t xml:space="preserve">Medium:</t>
  </si>
  <si>
    <t xml:space="preserve">Low: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</si>
</sst>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  <fill>
      <patternFill patternType="solid">
        <fgColor rgb="FFC00000"/>
        <bgColor rgb="FF80000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55"/>
    <col collapsed="false" customWidth="true" hidden="false" outlineLevel="0" max="6" min="6" style="0" width="22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customFormat="false" ht="23.85" hidden="false" customHeight="false" outlineLevel="0" collapsed="false">
      <c r="A6" s="4" t="s">
        <v>16</v>
      </c>
      <c r="B6" s="4" t="s">
        <v>10</v>
      </c>
      <c r="C6" s="4" t="s">
        <v>17</v>
      </c>
      <c r="D6" s="4" t="s">
        <v>18</v>
      </c>
      <c r="E6" s="4" t="s">
        <v>19</v>
      </c>
      <c r="F6" s="4" t="s">
        <v>20</v>
      </c>
      <c r="G6" s="5" t="s">
        <v>15</v>
      </c>
    </row>
    <row r="7" customFormat="false" ht="23.85" hidden="false" customHeight="false" outlineLevel="0" collapsed="false">
      <c r="A7" s="4" t="s">
        <v>21</v>
      </c>
      <c r="B7" s="4" t="s">
        <v>10</v>
      </c>
      <c r="C7" s="4" t="s">
        <v>22</v>
      </c>
      <c r="D7" s="4" t="s">
        <v>23</v>
      </c>
      <c r="E7" s="4" t="s">
        <v>24</v>
      </c>
      <c r="F7" s="4" t="s">
        <v>25</v>
      </c>
      <c r="G7" s="5" t="s">
        <v>15</v>
      </c>
    </row>
    <row r="8" customFormat="false" ht="35.05" hidden="false" customHeight="false" outlineLevel="0" collapsed="false">
      <c r="A8" s="4" t="s">
        <v>26</v>
      </c>
      <c r="B8" s="4" t="s">
        <v>10</v>
      </c>
      <c r="C8" s="4" t="s">
        <v>27</v>
      </c>
      <c r="D8" s="4" t="s">
        <v>12</v>
      </c>
      <c r="E8" s="4" t="s">
        <v>28</v>
      </c>
      <c r="F8" s="4" t="s">
        <v>29</v>
      </c>
      <c r="G8" s="5" t="s">
        <v>15</v>
      </c>
    </row>
    <row r="9" customFormat="false" ht="35.05" hidden="false" customHeight="false" outlineLevel="0" collapsed="false">
      <c r="A9" s="4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4" t="s">
        <v>35</v>
      </c>
      <c r="G9" s="5" t="s">
        <v>15</v>
      </c>
    </row>
    <row r="10" customFormat="false" ht="23.85" hidden="false" customHeight="false" outlineLevel="0" collapsed="false">
      <c r="A10" s="4" t="s">
        <v>36</v>
      </c>
      <c r="B10" s="4" t="s">
        <v>31</v>
      </c>
      <c r="C10" s="4" t="s">
        <v>37</v>
      </c>
      <c r="D10" s="4" t="s">
        <v>38</v>
      </c>
      <c r="E10" s="4" t="s">
        <v>39</v>
      </c>
      <c r="F10" s="4" t="s">
        <v>40</v>
      </c>
      <c r="G10" s="5" t="s">
        <v>15</v>
      </c>
    </row>
    <row r="11" customFormat="false" ht="23.85" hidden="false" customHeight="false" outlineLevel="0" collapsed="false">
      <c r="A11" s="4" t="s">
        <v>41</v>
      </c>
      <c r="B11" s="4" t="s">
        <v>31</v>
      </c>
      <c r="C11" s="4" t="s">
        <v>42</v>
      </c>
      <c r="D11" s="4" t="s">
        <v>43</v>
      </c>
      <c r="E11" s="4" t="s">
        <v>44</v>
      </c>
      <c r="F11" s="4" t="s">
        <v>45</v>
      </c>
      <c r="G11" s="6" t="s">
        <v>46</v>
      </c>
    </row>
    <row r="12" customFormat="false" ht="15" hidden="false" customHeight="false" outlineLevel="0" collapsed="false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44</v>
      </c>
      <c r="F12" s="4" t="s">
        <v>45</v>
      </c>
      <c r="G12" s="6" t="s">
        <v>46</v>
      </c>
    </row>
    <row r="13" customFormat="false" ht="23.85" hidden="false" customHeight="false" outlineLevel="0" collapsed="false">
      <c r="A13" s="4" t="s">
        <v>51</v>
      </c>
      <c r="B13" s="4" t="s">
        <v>48</v>
      </c>
      <c r="C13" s="4" t="s">
        <v>52</v>
      </c>
      <c r="D13" s="4" t="s">
        <v>53</v>
      </c>
      <c r="E13" s="4" t="s">
        <v>44</v>
      </c>
      <c r="F13" s="4" t="s">
        <v>45</v>
      </c>
      <c r="G13" s="6" t="s">
        <v>46</v>
      </c>
    </row>
    <row r="14" customFormat="false" ht="23.85" hidden="false" customHeight="false" outlineLevel="0" collapsed="false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5" t="s">
        <v>15</v>
      </c>
    </row>
    <row r="15" customFormat="false" ht="23.85" hidden="false" customHeight="false" outlineLevel="0" collapsed="false">
      <c r="A15" s="4" t="s">
        <v>60</v>
      </c>
      <c r="B15" s="4" t="s">
        <v>55</v>
      </c>
      <c r="C15" s="4" t="s">
        <v>61</v>
      </c>
      <c r="D15" s="4" t="s">
        <v>62</v>
      </c>
      <c r="E15" s="4" t="s">
        <v>63</v>
      </c>
      <c r="F15" s="4" t="s">
        <v>64</v>
      </c>
      <c r="G15" s="5" t="s">
        <v>15</v>
      </c>
    </row>
    <row r="16" customFormat="false" ht="23.85" hidden="false" customHeight="false" outlineLevel="0" collapsed="false">
      <c r="A16" s="4" t="s">
        <v>65</v>
      </c>
      <c r="B16" s="4" t="s">
        <v>55</v>
      </c>
      <c r="C16" s="4" t="s">
        <v>66</v>
      </c>
      <c r="D16" s="4" t="s">
        <v>67</v>
      </c>
      <c r="E16" s="4" t="s">
        <v>44</v>
      </c>
      <c r="F16" s="4" t="s">
        <v>45</v>
      </c>
      <c r="G16" s="6" t="s">
        <v>46</v>
      </c>
    </row>
    <row r="17" customFormat="false" ht="23.85" hidden="false" customHeight="false" outlineLevel="0" collapsed="false">
      <c r="A17" s="4" t="s">
        <v>68</v>
      </c>
      <c r="B17" s="4" t="s">
        <v>55</v>
      </c>
      <c r="C17" s="4" t="s">
        <v>69</v>
      </c>
      <c r="D17" s="4" t="s">
        <v>70</v>
      </c>
      <c r="E17" s="4" t="s">
        <v>71</v>
      </c>
      <c r="F17" s="4" t="s">
        <v>72</v>
      </c>
      <c r="G17" s="5" t="s">
        <v>15</v>
      </c>
    </row>
    <row r="18" customFormat="false" ht="23.85" hidden="false" customHeight="false" outlineLevel="0" collapsed="false">
      <c r="A18" s="4" t="s">
        <v>73</v>
      </c>
      <c r="B18" s="4" t="s">
        <v>55</v>
      </c>
      <c r="C18" s="4" t="s">
        <v>74</v>
      </c>
      <c r="D18" s="4" t="s">
        <v>75</v>
      </c>
      <c r="E18" s="4" t="s">
        <v>44</v>
      </c>
      <c r="F18" s="4" t="s">
        <v>45</v>
      </c>
      <c r="G18" s="6" t="s">
        <v>46</v>
      </c>
    </row>
    <row r="19" customFormat="false" ht="23.85" hidden="false" customHeight="false" outlineLevel="0" collapsed="false">
      <c r="A19" s="4" t="s">
        <v>76</v>
      </c>
      <c r="B19" s="4" t="s">
        <v>55</v>
      </c>
      <c r="C19" s="4" t="s">
        <v>77</v>
      </c>
      <c r="D19" s="4" t="s">
        <v>78</v>
      </c>
      <c r="E19" s="4" t="s">
        <v>79</v>
      </c>
      <c r="F19" s="4" t="s">
        <v>80</v>
      </c>
      <c r="G19" s="5" t="s">
        <v>15</v>
      </c>
    </row>
    <row r="20" customFormat="false" ht="23.85" hidden="false" customHeight="false" outlineLevel="0" collapsed="false">
      <c r="A20" s="4" t="s">
        <v>81</v>
      </c>
      <c r="B20" s="4" t="s">
        <v>55</v>
      </c>
      <c r="C20" s="4" t="s">
        <v>82</v>
      </c>
      <c r="D20" s="4" t="s">
        <v>83</v>
      </c>
      <c r="E20" s="4" t="s">
        <v>44</v>
      </c>
      <c r="F20" s="4" t="s">
        <v>45</v>
      </c>
      <c r="G20" s="6" t="s">
        <v>46</v>
      </c>
    </row>
    <row r="21" customFormat="false" ht="23.85" hidden="false" customHeight="false" outlineLevel="0" collapsed="false">
      <c r="A21" s="4" t="s">
        <v>84</v>
      </c>
      <c r="B21" s="4" t="s">
        <v>55</v>
      </c>
      <c r="C21" s="4" t="s">
        <v>85</v>
      </c>
      <c r="D21" s="4" t="s">
        <v>86</v>
      </c>
      <c r="E21" s="4" t="s">
        <v>44</v>
      </c>
      <c r="F21" s="4" t="s">
        <v>45</v>
      </c>
      <c r="G21" s="6" t="s">
        <v>46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87</v>
      </c>
      <c r="B1" s="1"/>
      <c r="C1" s="1"/>
      <c r="D1" s="1"/>
      <c r="E1" s="1"/>
    </row>
    <row r="3" customFormat="false" ht="15" hidden="false" customHeight="false" outlineLevel="0" collapsed="false">
      <c r="A3" s="3" t="s">
        <v>88</v>
      </c>
      <c r="B3" s="3" t="s">
        <v>89</v>
      </c>
      <c r="C3" s="3" t="s">
        <v>90</v>
      </c>
      <c r="D3" s="3" t="s">
        <v>91</v>
      </c>
      <c r="E3" s="3" t="s">
        <v>7</v>
      </c>
    </row>
    <row r="4" customFormat="false" ht="15" hidden="false" customHeight="false" outlineLevel="0" collapsed="false">
      <c r="A4" s="4" t="s">
        <v>92</v>
      </c>
      <c r="B4" s="4" t="s">
        <v>93</v>
      </c>
      <c r="C4" s="4" t="s">
        <v>94</v>
      </c>
      <c r="D4" s="7" t="s">
        <v>95</v>
      </c>
      <c r="E4" s="4" t="s">
        <v>96</v>
      </c>
    </row>
    <row r="5" customFormat="false" ht="15" hidden="false" customHeight="false" outlineLevel="0" collapsed="false">
      <c r="A5" s="4" t="s">
        <v>97</v>
      </c>
      <c r="B5" s="4" t="s">
        <v>98</v>
      </c>
      <c r="C5" s="4" t="s">
        <v>94</v>
      </c>
      <c r="D5" s="8" t="s">
        <v>99</v>
      </c>
      <c r="E5" s="4" t="s">
        <v>100</v>
      </c>
    </row>
    <row r="6" customFormat="false" ht="23.85" hidden="false" customHeight="false" outlineLevel="0" collapsed="false">
      <c r="A6" s="4" t="s">
        <v>101</v>
      </c>
      <c r="B6" s="4" t="s">
        <v>102</v>
      </c>
      <c r="C6" s="4" t="s">
        <v>103</v>
      </c>
      <c r="D6" s="8" t="s">
        <v>99</v>
      </c>
      <c r="E6" s="4" t="s">
        <v>104</v>
      </c>
    </row>
    <row r="7" customFormat="false" ht="15" hidden="false" customHeight="false" outlineLevel="0" collapsed="false">
      <c r="A7" s="4" t="s">
        <v>105</v>
      </c>
      <c r="B7" s="4" t="s">
        <v>106</v>
      </c>
      <c r="C7" s="4" t="s">
        <v>107</v>
      </c>
      <c r="D7" s="8" t="s">
        <v>99</v>
      </c>
      <c r="E7" s="4" t="s">
        <v>72</v>
      </c>
    </row>
    <row r="8" customFormat="false" ht="15" hidden="false" customHeight="false" outlineLevel="0" collapsed="false">
      <c r="A8" s="4" t="s">
        <v>108</v>
      </c>
      <c r="B8" s="4" t="s">
        <v>109</v>
      </c>
      <c r="C8" s="4" t="s">
        <v>107</v>
      </c>
      <c r="D8" s="9" t="s">
        <v>110</v>
      </c>
      <c r="E8" s="4" t="s">
        <v>29</v>
      </c>
    </row>
    <row r="9" customFormat="false" ht="23.85" hidden="false" customHeight="false" outlineLevel="0" collapsed="false">
      <c r="A9" s="4" t="s">
        <v>111</v>
      </c>
      <c r="B9" s="4" t="s">
        <v>112</v>
      </c>
      <c r="C9" s="4" t="s">
        <v>107</v>
      </c>
      <c r="D9" s="9" t="s">
        <v>110</v>
      </c>
      <c r="E9" s="4" t="s">
        <v>29</v>
      </c>
    </row>
    <row r="10" customFormat="false" ht="15" hidden="false" customHeight="false" outlineLevel="0" collapsed="false">
      <c r="A10" s="4" t="s">
        <v>113</v>
      </c>
      <c r="B10" s="4" t="s">
        <v>114</v>
      </c>
      <c r="C10" s="4" t="s">
        <v>107</v>
      </c>
      <c r="D10" s="10" t="s">
        <v>115</v>
      </c>
      <c r="E10" s="4" t="s">
        <v>40</v>
      </c>
    </row>
    <row r="11" customFormat="false" ht="23.85" hidden="false" customHeight="false" outlineLevel="0" collapsed="false">
      <c r="A11" s="4" t="s">
        <v>116</v>
      </c>
      <c r="B11" s="4" t="s">
        <v>117</v>
      </c>
      <c r="C11" s="4" t="s">
        <v>107</v>
      </c>
      <c r="D11" s="10" t="s">
        <v>115</v>
      </c>
      <c r="E11" s="4" t="s">
        <v>20</v>
      </c>
    </row>
    <row r="13" customFormat="false" ht="15" hidden="false" customHeight="false" outlineLevel="0" collapsed="false">
      <c r="A13" s="11" t="s">
        <v>118</v>
      </c>
    </row>
    <row r="14" customFormat="false" ht="15" hidden="false" customHeight="false" outlineLevel="0" collapsed="false">
      <c r="A14" s="12" t="s">
        <v>119</v>
      </c>
      <c r="B14" s="13" t="n">
        <f aca="false">COUNTA(A4:A11)</f>
        <v>8</v>
      </c>
    </row>
    <row r="15" customFormat="false" ht="15" hidden="false" customHeight="false" outlineLevel="0" collapsed="false">
      <c r="A15" s="12" t="s">
        <v>120</v>
      </c>
      <c r="B15" s="13" t="n">
        <f aca="false">COUNTIF(D4:D11,"Critical")</f>
        <v>1</v>
      </c>
    </row>
    <row r="16" customFormat="false" ht="15" hidden="false" customHeight="false" outlineLevel="0" collapsed="false">
      <c r="A16" s="12" t="s">
        <v>121</v>
      </c>
      <c r="B16" s="13" t="n">
        <f aca="false">COUNTIF(D4:D11,"High")</f>
        <v>3</v>
      </c>
    </row>
    <row r="17" customFormat="false" ht="15" hidden="false" customHeight="false" outlineLevel="0" collapsed="false">
      <c r="A17" s="12" t="s">
        <v>122</v>
      </c>
      <c r="B17" s="13" t="n">
        <f aca="false">COUNTIF(D4:D11,"Medium")</f>
        <v>2</v>
      </c>
    </row>
    <row r="18" customFormat="false" ht="15" hidden="false" customHeight="false" outlineLevel="0" collapsed="false">
      <c r="A18" s="12" t="s">
        <v>123</v>
      </c>
      <c r="B18" s="13" t="n">
        <f aca="false">COUNTIF(D4:D11,"Low")</f>
        <v>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2026-10-12T09:06:54Z</dcterms:created>
  <dc:creator>openpyxl</dc:creator>
  <dc:description/>
  <dc:language>en-US</dc:language>
  <cp:lastModifiedBy/>
  <dcterms:modified xsi:type="dcterms:W3CDTF">2026-10-12T09:06:54Z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