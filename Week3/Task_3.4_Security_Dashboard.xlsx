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<sst xmlns="http://schemas.openxmlformats.org/spreadsheetml/2006/main" count="45" uniqueCount="28">
  <si>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t xml:space="preserve">Security Monitoring Dashboard</t>
  </si>
  <si>
    <t xml:space="preserve">SSH Authentication Activity — Week 3 Threat Detection Summary</t>
  </si>
  <si>
    <t xml:space="preserve">Total Failed Logins</t>
  </si>
  <si>
    <t xml:space="preserve">High-Severity Sources</t>
  </si>
  <si>
    <t xml:space="preserve">Medium-Severity Sources</t>
  </si>
  <si>
    <t xml:space="preserve">Low-Severity Sources</t>
  </si>
  <si>
    <t xml:space="preserve">Source IP / Host</t>
  </si>
  <si>
    <t xml:space="preserve">Target Username</t>
  </si>
  <si>
    <t xml:space="preserve">Failed Attempts</t>
  </si>
  <si>
    <t xml:space="preserve">Severity</t>
  </si>
  <si>
    <t xml:space="preserve">Count</t>
  </si>
  <si>
    <t xml:space="preserve">150.183.249.110</t>
  </si>
  <si>
    <t xml:space="preserve">root</t>
  </si>
  <si>
    <t xml:space="preserve">High</t>
  </si>
  <si>
    <t xml:space="preserve">n219076184117.netvigator.com</t>
  </si>
  <si>
    <t xml:space="preserve">Medium</t>
  </si>
  <si>
    <t xml:space="preserve">207.243.167.114</t>
  </si>
  <si>
    <t xml:space="preserve">Low</t>
  </si>
  <si>
    <t xml:space="preserve">60.30.224.116</t>
  </si>
  <si>
    <t xml:space="preserve">195.129.24.210</t>
  </si>
  <si>
    <t xml:space="preserve">218.188.2.4</t>
  </si>
  <si>
    <t xml:space="preserve">unknown</t>
  </si>
  <si>
    <t xml:space="preserve">220-135-151-1.hinet-ip.hinet.net</t>
  </si>
  <si>
    <t xml:space="preserve">61-220-159-99.hinet-ip.hinet.net</t>
  </si>
  <si>
    <t xml:space="preserve">193.110.106.11</t>
  </si>
  <si>
    <t xml:space="preserve">guest</t>
  </si>
  <si>
    <t xml:space="preserve">85.44.47.166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</si>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</sst>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9"/>
      <color rgb="FFD9E2F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Failed Login Attempts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Data!C1</c:f>
              <c:strCache>
                <c:ptCount val="1"/>
                <c:pt idx="0">
                  <c:v>Failed Attempts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Data!$A$2:$A$11</c:f>
              <c:strCache>
                <c:ptCount val="10"/>
                <c:pt idx="0">
                  <c:v>150.183.249.110</c:v>
                </c:pt>
                <c:pt idx="1">
                  <c:v>n219076184117.netvigator.com</c:v>
                </c:pt>
                <c:pt idx="2">
                  <c:v>207.243.167.114</c:v>
                </c:pt>
                <c:pt idx="3">
                  <c:v>60.30.224.116</c:v>
                </c:pt>
                <c:pt idx="4">
                  <c:v>195.129.24.210</c:v>
                </c:pt>
                <c:pt idx="5">
                  <c:v>218.188.2.4</c:v>
                </c:pt>
                <c:pt idx="6">
                  <c:v>220-135-151-1.hinet-ip.hinet.net</c:v>
                </c:pt>
                <c:pt idx="7">
                  <c:v>61-220-159-99.hinet-ip.hinet.net</c:v>
                </c:pt>
                <c:pt idx="8">
                  <c:v>193.110.106.11</c:v>
                </c:pt>
                <c:pt idx="9">
                  <c:v>85.44.47.166</c:v>
                </c:pt>
              </c:strCache>
            </c:strRef>
          </c:cat>
          <c:val>
            <c:numRef>
              <c:f>Data!$C$2:$C$11</c:f>
              <c:numCache>
                <c:formatCode>General</c:formatCode>
                <c:ptCount val="10"/>
                <c:pt idx="0">
                  <c:v>80</c:v>
                </c:pt>
                <c:pt idx="1">
                  <c:v>23</c:v>
                </c:pt>
                <c:pt idx="2">
                  <c:v>23</c:v>
                </c:pt>
                <c:pt idx="3">
                  <c:v>20</c:v>
                </c:pt>
                <c:pt idx="4">
                  <c:v>15</c:v>
                </c:pt>
                <c:pt idx="5">
                  <c:v>14</c:v>
                </c:pt>
                <c:pt idx="6">
                  <c:v>10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33261942"/>
        <c:axId val="70815305"/>
      </c:barChart>
      <c:catAx>
        <c:axId val="33261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815305"/>
        <c:crosses val="autoZero"/>
        <c:auto val="1"/>
        <c:lblAlgn val="ctr"/>
        <c:lblOffset val="100"/>
        <c:noMultiLvlLbl val="0"/>
      </c:catAx>
      <c:valAx>
        <c:axId val="708153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Failed Attempts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619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Data!G1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Data!$F$2:$F$4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Data!$G$2:$G$4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9</xdr:col>
      <xdr:colOff>255960</xdr:colOff>
      <xdr:row>21</xdr:row>
      <xdr:rowOff>22320</xdr:rowOff>
    </xdr:to>
    <xdr:graphicFrame>
      <xdr:nvGraphicFramePr>
        <xdr:cNvPr id="0" name="Chart 1"/>
        <xdr:cNvGraphicFramePr/>
      </xdr:nvGraphicFramePr>
      <xdr:xfrm>
        <a:off x="0" y="1552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542160</xdr:colOff>
      <xdr:row>21</xdr:row>
      <xdr:rowOff>22320</xdr:rowOff>
    </xdr:to>
    <xdr:graphicFrame>
      <xdr:nvGraphicFramePr>
        <xdr:cNvPr id="1" name="Chart 2"/>
        <xdr:cNvGraphicFramePr/>
      </xdr:nvGraphicFramePr>
      <xdr:xfrm>
        <a:off x="5503680" y="1552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n">
        <v>191</v>
      </c>
      <c r="B4" s="3"/>
      <c r="C4" s="3" t="n">
        <v>4</v>
      </c>
      <c r="D4" s="3"/>
      <c r="E4" s="3" t="n">
        <v>3</v>
      </c>
      <c r="F4" s="3"/>
      <c r="G4" s="3" t="n">
        <v>3</v>
      </c>
      <c r="H4" s="3"/>
    </row>
    <row r="5" customFormat="false" ht="27.75" hidden="false" customHeight="true" outlineLevel="0" collapsed="false">
      <c r="A5" s="4" t="s">
        <v>2</v>
      </c>
      <c r="B5" s="4"/>
      <c r="C5" s="4" t="s">
        <v>3</v>
      </c>
      <c r="D5" s="4"/>
      <c r="E5" s="4" t="s">
        <v>4</v>
      </c>
      <c r="F5" s="4"/>
      <c r="G5" s="4" t="s">
        <v>5</v>
      </c>
      <c r="H5" s="4"/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32"/>
    <col collapsed="false" customWidth="true" hidden="false" outlineLevel="0" max="2" min="2" style="5" width="16"/>
    <col collapsed="false" customWidth="true" hidden="false" outlineLevel="0" max="3" min="3" style="5" width="15"/>
    <col collapsed="false" customWidth="true" hidden="false" outlineLevel="0" max="4" min="4" style="5" width="10"/>
    <col collapsed="false" customWidth="true" hidden="false" outlineLevel="0" max="6" min="6" style="5" width="12"/>
    <col collapsed="false" customWidth="true" hidden="false" outlineLevel="0" max="7" min="7" style="5" width="10"/>
  </cols>
  <sheetData>
    <row r="1" customFormat="false" ht="15" hidden="false" customHeight="true" outlineLevel="0" collapsed="false">
      <c r="A1" s="6" t="s">
        <v>6</v>
      </c>
      <c r="B1" s="6" t="s">
        <v>7</v>
      </c>
      <c r="C1" s="6" t="s">
        <v>8</v>
      </c>
      <c r="D1" s="6" t="s">
        <v>9</v>
      </c>
      <c r="F1" s="7" t="s">
        <v>9</v>
      </c>
      <c r="G1" s="7" t="s">
        <v>10</v>
      </c>
    </row>
    <row r="2" customFormat="false" ht="15" hidden="false" customHeight="true" outlineLevel="0" collapsed="false">
      <c r="A2" s="8" t="s">
        <v>11</v>
      </c>
      <c r="B2" s="8" t="s">
        <v>12</v>
      </c>
      <c r="C2" s="8" t="n">
        <v>80</v>
      </c>
      <c r="D2" s="8" t="s">
        <v>13</v>
      </c>
      <c r="F2" s="8" t="s">
        <v>13</v>
      </c>
      <c r="G2" s="8" t="n">
        <f aca="false">COUNTIF(D2:D11,"High")</f>
        <v>4</v>
      </c>
    </row>
    <row r="3" customFormat="false" ht="15" hidden="false" customHeight="true" outlineLevel="0" collapsed="false">
      <c r="A3" s="8" t="s">
        <v>14</v>
      </c>
      <c r="B3" s="8" t="s">
        <v>12</v>
      </c>
      <c r="C3" s="8" t="n">
        <v>23</v>
      </c>
      <c r="D3" s="8" t="s">
        <v>13</v>
      </c>
      <c r="F3" s="8" t="s">
        <v>15</v>
      </c>
      <c r="G3" s="8" t="n">
        <f aca="false">COUNTIF(D2:D11,"Medium")</f>
        <v>3</v>
      </c>
    </row>
    <row r="4" customFormat="false" ht="15" hidden="false" customHeight="true" outlineLevel="0" collapsed="false">
      <c r="A4" s="8" t="s">
        <v>16</v>
      </c>
      <c r="B4" s="8" t="s">
        <v>12</v>
      </c>
      <c r="C4" s="8" t="n">
        <v>23</v>
      </c>
      <c r="D4" s="8" t="s">
        <v>13</v>
      </c>
      <c r="F4" s="8" t="s">
        <v>17</v>
      </c>
      <c r="G4" s="8" t="n">
        <f aca="false">COUNTIF(D2:D11,"Low")</f>
        <v>3</v>
      </c>
    </row>
    <row r="5" customFormat="false" ht="15" hidden="false" customHeight="true" outlineLevel="0" collapsed="false">
      <c r="A5" s="8" t="s">
        <v>18</v>
      </c>
      <c r="B5" s="8" t="s">
        <v>12</v>
      </c>
      <c r="C5" s="8" t="n">
        <v>20</v>
      </c>
      <c r="D5" s="8" t="s">
        <v>13</v>
      </c>
    </row>
    <row r="6" customFormat="false" ht="15" hidden="false" customHeight="true" outlineLevel="0" collapsed="false">
      <c r="A6" s="8" t="s">
        <v>19</v>
      </c>
      <c r="B6" s="8" t="s">
        <v>12</v>
      </c>
      <c r="C6" s="8" t="n">
        <v>15</v>
      </c>
      <c r="D6" s="8" t="s">
        <v>15</v>
      </c>
    </row>
    <row r="7" customFormat="false" ht="15" hidden="false" customHeight="true" outlineLevel="0" collapsed="false">
      <c r="A7" s="8" t="s">
        <v>20</v>
      </c>
      <c r="B7" s="8" t="s">
        <v>21</v>
      </c>
      <c r="C7" s="8" t="n">
        <v>14</v>
      </c>
      <c r="D7" s="8" t="s">
        <v>15</v>
      </c>
    </row>
    <row r="8" customFormat="false" ht="15" hidden="false" customHeight="true" outlineLevel="0" collapsed="false">
      <c r="A8" s="8" t="s">
        <v>22</v>
      </c>
      <c r="B8" s="8" t="s">
        <v>12</v>
      </c>
      <c r="C8" s="8" t="n">
        <v>10</v>
      </c>
      <c r="D8" s="8" t="s">
        <v>15</v>
      </c>
    </row>
    <row r="9" customFormat="false" ht="15" hidden="false" customHeight="true" outlineLevel="0" collapsed="false">
      <c r="A9" s="8" t="s">
        <v>23</v>
      </c>
      <c r="B9" s="8" t="s">
        <v>12</v>
      </c>
      <c r="C9" s="8" t="n">
        <v>3</v>
      </c>
      <c r="D9" s="8" t="s">
        <v>17</v>
      </c>
    </row>
    <row r="10" customFormat="false" ht="15" hidden="false" customHeight="true" outlineLevel="0" collapsed="false">
      <c r="A10" s="8" t="s">
        <v>24</v>
      </c>
      <c r="B10" s="8" t="s">
        <v>25</v>
      </c>
      <c r="C10" s="8" t="n">
        <v>2</v>
      </c>
      <c r="D10" s="8" t="s">
        <v>17</v>
      </c>
    </row>
    <row r="11" customFormat="false" ht="15" hidden="false" customHeight="true" outlineLevel="0" collapsed="false">
      <c r="A11" s="8" t="s">
        <v>26</v>
      </c>
      <c r="B11" s="8" t="s">
        <v>27</v>
      </c>
      <c r="C11" s="8" t="n">
        <v>1</v>
      </c>
      <c r="D11" s="8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2026-10-06T09:54:02Z</dcterms:created>
  <dc:creator>openpyxl</dc:creator>
  <dc:description/>
  <dc:language>en-US</dc:language>
  <cp:lastModifiedBy/>
  <dcterms:modified xsi:type="dcterms:W3CDTF">2026-10-06T09:54:21Z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