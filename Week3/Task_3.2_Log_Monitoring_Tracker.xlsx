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0400" windowHeight="7500" tabRatio="500"/>
  </bookViews>
  <sheets>
    <sheet name="Log Monitoring Tracker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0" i="1" l="1"/>
  <c r="D19" i="1"/>
  <c r="D18" i="1"/>
  <c r="D17" i="1"/>
  <c r="F14" i="1"/>
  <c r="G14" i="1" s="1"/>
  <c r="F13" i="1"/>
  <c r="G13" i="1" s="1"/>
  <c r="F12" i="1"/>
  <c r="G12" i="1" s="1"/>
  <c r="G11" i="1"/>
  <c r="F11" i="1"/>
  <c r="F10" i="1"/>
  <c r="G10" i="1" s="1"/>
  <c r="F9" i="1"/>
  <c r="G9" i="1" s="1"/>
  <c r="G8" i="1"/>
  <c r="F8" i="1"/>
  <c r="G7" i="1"/>
  <c r="F7" i="1"/>
  <c r="F6" i="1"/>
  <c r="G6" i="1" s="1"/>
  <c r="F5" i="1"/>
  <c r="G5" i="1" s="1"/>
</calcChain>
</file>

<file path=xl/sharedStrings.xml><?xml version="1.0" encoding="utf-8"?>
<sst xmlns="http://schemas.openxmlformats.org/spreadsheetml/2006/main" count="67" uniqueCount="43">
  <si>
    <t>SSH Authentication Log — Monitoring Tracker</t>
  </si>
  <si>
    <t>Source: auth.log (Task 3.1 sample dataset) — Prepared for Task 3.2 Log-Monitoring Workflow</t>
  </si>
  <si>
    <t>Date</t>
  </si>
  <si>
    <t>Source IP / Host</t>
  </si>
  <si>
    <t>Target Username</t>
  </si>
  <si>
    <t>Failed Attempts</t>
  </si>
  <si>
    <t>Event Type</t>
  </si>
  <si>
    <t>Severity</t>
  </si>
  <si>
    <t>Status</t>
  </si>
  <si>
    <t>Analyst Notes</t>
  </si>
  <si>
    <t>Jun 15</t>
  </si>
  <si>
    <t>150.183.249.110</t>
  </si>
  <si>
    <t>root</t>
  </si>
  <si>
    <t>Brute Force</t>
  </si>
  <si>
    <t>Single IP, highest failure count — top priority</t>
  </si>
  <si>
    <t>n219076184117.netvigator.com</t>
  </si>
  <si>
    <t>Residential ISP hostname — likely botnet node</t>
  </si>
  <si>
    <t>207.243.167.114</t>
  </si>
  <si>
    <t>Repeated root targeting</t>
  </si>
  <si>
    <t>60.30.224.116</t>
  </si>
  <si>
    <t>195.129.24.210</t>
  </si>
  <si>
    <t>218.188.2.4</t>
  </si>
  <si>
    <t>unknown</t>
  </si>
  <si>
    <t>Credential Guessing</t>
  </si>
  <si>
    <t>Targets 'unknown' users — scripted scan</t>
  </si>
  <si>
    <t>220-135-151-1.hinet-ip.hinet.net</t>
  </si>
  <si>
    <t>Consumer broadband host — suspicious</t>
  </si>
  <si>
    <t>61-220-159-99.hinet-ip.hinet.net</t>
  </si>
  <si>
    <t>Low volume — monitor only</t>
  </si>
  <si>
    <t>193.110.106.11</t>
  </si>
  <si>
    <t>guest</t>
  </si>
  <si>
    <t>Default Account Probe</t>
  </si>
  <si>
    <t>Targeting default 'guest' account</t>
  </si>
  <si>
    <t>85.44.47.166</t>
  </si>
  <si>
    <t>test</t>
  </si>
  <si>
    <t>Targeting default 'test' account</t>
  </si>
  <si>
    <t>Summary</t>
  </si>
  <si>
    <t>Total failed login events logged (this file):</t>
  </si>
  <si>
    <t>High-severity sources:</t>
  </si>
  <si>
    <t>Medium-severity sources:</t>
  </si>
  <si>
    <t>Low-severity sources:</t>
  </si>
  <si>
    <t>Severity thresholds (editable):</t>
  </si>
  <si>
    <t>High = 20+ failed attempts  |  Medium = 5-19  |  Low = 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</si>
</sst>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55555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CCCC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Border="1"/>
    <xf numFmtId="0" fontId="1" fillId="0" borderId="0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4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zoomScaleNormal="100" workbookViewId="0">
      <pane ySplit="4" topLeftCell="A5" activePane="bottomLeft" state="frozen"/>
      <selection pane="bottomLeft" activeCell="I1" sqref="I1"/>
    </sheetView>
  </sheetViews>
  <sheetFormatPr defaultColWidth="8.7109375" defaultRowHeight="15" x14ac:dyDescent="0.25"/>
  <cols>
    <col min="1" max="1" width="10" customWidth="1"/>
    <col min="2" max="2" width="30" customWidth="1"/>
    <col min="3" max="4" width="14" customWidth="1"/>
    <col min="5" max="5" width="20" customWidth="1"/>
    <col min="6" max="6" width="10" customWidth="1"/>
    <col min="7" max="7" width="20" customWidth="1"/>
    <col min="8" max="8" width="38" customWidth="1"/>
  </cols>
  <sheetData>
    <row r="1" spans="1:8" ht="18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4" spans="1:8" ht="3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25.5" x14ac:dyDescent="0.25">
      <c r="A5" s="4" t="s">
        <v>10</v>
      </c>
      <c r="B5" s="4" t="s">
        <v>11</v>
      </c>
      <c r="C5" s="4" t="s">
        <v>12</v>
      </c>
      <c r="D5" s="4">
        <v>80</v>
      </c>
      <c r="E5" s="4" t="s">
        <v>13</v>
      </c>
      <c r="F5" s="5" t="str">
        <f t="shared" ref="F5:F14" si="0">IF(D5&gt;=20,"High",IF(D5&gt;=5,"Medium","Low"))</f>
        <v>High</v>
      </c>
      <c r="G5" s="6" t="str">
        <f t="shared" ref="G5:G14" si="1">IF(F5="High","Blocked &amp; Escalated",IF(F5="Medium","Under Investigation","Monitoring"))</f>
        <v>Blocked &amp; Escalated</v>
      </c>
      <c r="H5" s="7" t="s">
        <v>14</v>
      </c>
    </row>
    <row r="6" spans="1:8" ht="25.5" x14ac:dyDescent="0.25">
      <c r="A6" s="4" t="s">
        <v>10</v>
      </c>
      <c r="B6" s="4" t="s">
        <v>15</v>
      </c>
      <c r="C6" s="4" t="s">
        <v>12</v>
      </c>
      <c r="D6" s="4">
        <v>23</v>
      </c>
      <c r="E6" s="4" t="s">
        <v>13</v>
      </c>
      <c r="F6" s="5" t="str">
        <f t="shared" si="0"/>
        <v>High</v>
      </c>
      <c r="G6" s="6" t="str">
        <f t="shared" si="1"/>
        <v>Blocked &amp; Escalated</v>
      </c>
      <c r="H6" s="7" t="s">
        <v>16</v>
      </c>
    </row>
    <row r="7" spans="1:8" x14ac:dyDescent="0.25">
      <c r="A7" s="4" t="s">
        <v>10</v>
      </c>
      <c r="B7" s="4" t="s">
        <v>17</v>
      </c>
      <c r="C7" s="4" t="s">
        <v>12</v>
      </c>
      <c r="D7" s="4">
        <v>23</v>
      </c>
      <c r="E7" s="4" t="s">
        <v>13</v>
      </c>
      <c r="F7" s="5" t="str">
        <f t="shared" si="0"/>
        <v>High</v>
      </c>
      <c r="G7" s="6" t="str">
        <f t="shared" si="1"/>
        <v>Blocked &amp; Escalated</v>
      </c>
      <c r="H7" s="7" t="s">
        <v>18</v>
      </c>
    </row>
    <row r="8" spans="1:8" x14ac:dyDescent="0.25">
      <c r="A8" s="4" t="s">
        <v>10</v>
      </c>
      <c r="B8" s="4" t="s">
        <v>19</v>
      </c>
      <c r="C8" s="4" t="s">
        <v>12</v>
      </c>
      <c r="D8" s="4">
        <v>20</v>
      </c>
      <c r="E8" s="4" t="s">
        <v>13</v>
      </c>
      <c r="F8" s="5" t="str">
        <f t="shared" si="0"/>
        <v>High</v>
      </c>
      <c r="G8" s="6" t="str">
        <f t="shared" si="1"/>
        <v>Blocked &amp; Escalated</v>
      </c>
      <c r="H8" s="7" t="s">
        <v>18</v>
      </c>
    </row>
    <row r="9" spans="1:8" x14ac:dyDescent="0.25">
      <c r="A9" s="4" t="s">
        <v>10</v>
      </c>
      <c r="B9" s="4" t="s">
        <v>20</v>
      </c>
      <c r="C9" s="4" t="s">
        <v>12</v>
      </c>
      <c r="D9" s="4">
        <v>15</v>
      </c>
      <c r="E9" s="4" t="s">
        <v>13</v>
      </c>
      <c r="F9" s="8" t="str">
        <f t="shared" si="0"/>
        <v>Medium</v>
      </c>
      <c r="G9" s="6" t="str">
        <f t="shared" si="1"/>
        <v>Under Investigation</v>
      </c>
      <c r="H9" s="7" t="s">
        <v>18</v>
      </c>
    </row>
    <row r="10" spans="1:8" x14ac:dyDescent="0.25">
      <c r="A10" s="4" t="s">
        <v>10</v>
      </c>
      <c r="B10" s="4" t="s">
        <v>21</v>
      </c>
      <c r="C10" s="4" t="s">
        <v>22</v>
      </c>
      <c r="D10" s="4">
        <v>14</v>
      </c>
      <c r="E10" s="4" t="s">
        <v>23</v>
      </c>
      <c r="F10" s="8" t="str">
        <f t="shared" si="0"/>
        <v>Medium</v>
      </c>
      <c r="G10" s="6" t="str">
        <f t="shared" si="1"/>
        <v>Under Investigation</v>
      </c>
      <c r="H10" s="7" t="s">
        <v>24</v>
      </c>
    </row>
    <row r="11" spans="1:8" x14ac:dyDescent="0.25">
      <c r="A11" s="4" t="s">
        <v>10</v>
      </c>
      <c r="B11" s="4" t="s">
        <v>25</v>
      </c>
      <c r="C11" s="4" t="s">
        <v>12</v>
      </c>
      <c r="D11" s="4">
        <v>10</v>
      </c>
      <c r="E11" s="4" t="s">
        <v>13</v>
      </c>
      <c r="F11" s="8" t="str">
        <f t="shared" si="0"/>
        <v>Medium</v>
      </c>
      <c r="G11" s="6" t="str">
        <f t="shared" si="1"/>
        <v>Under Investigation</v>
      </c>
      <c r="H11" s="7" t="s">
        <v>26</v>
      </c>
    </row>
    <row r="12" spans="1:8" x14ac:dyDescent="0.25">
      <c r="A12" s="4" t="s">
        <v>10</v>
      </c>
      <c r="B12" s="4" t="s">
        <v>27</v>
      </c>
      <c r="C12" s="4" t="s">
        <v>12</v>
      </c>
      <c r="D12" s="4">
        <v>3</v>
      </c>
      <c r="E12" s="4" t="s">
        <v>13</v>
      </c>
      <c r="F12" s="9" t="str">
        <f t="shared" si="0"/>
        <v>Low</v>
      </c>
      <c r="G12" s="6" t="str">
        <f t="shared" si="1"/>
        <v>Monitoring</v>
      </c>
      <c r="H12" s="7" t="s">
        <v>28</v>
      </c>
    </row>
    <row r="13" spans="1:8" x14ac:dyDescent="0.25">
      <c r="A13" s="4" t="s">
        <v>10</v>
      </c>
      <c r="B13" s="4" t="s">
        <v>29</v>
      </c>
      <c r="C13" s="4" t="s">
        <v>30</v>
      </c>
      <c r="D13" s="4">
        <v>2</v>
      </c>
      <c r="E13" s="4" t="s">
        <v>31</v>
      </c>
      <c r="F13" s="9" t="str">
        <f t="shared" si="0"/>
        <v>Low</v>
      </c>
      <c r="G13" s="6" t="str">
        <f t="shared" si="1"/>
        <v>Monitoring</v>
      </c>
      <c r="H13" s="7" t="s">
        <v>32</v>
      </c>
    </row>
    <row r="14" spans="1:8" x14ac:dyDescent="0.25">
      <c r="A14" s="4" t="s">
        <v>10</v>
      </c>
      <c r="B14" s="4" t="s">
        <v>33</v>
      </c>
      <c r="C14" s="4" t="s">
        <v>34</v>
      </c>
      <c r="D14" s="4">
        <v>1</v>
      </c>
      <c r="E14" s="4" t="s">
        <v>31</v>
      </c>
      <c r="F14" s="9" t="str">
        <f t="shared" si="0"/>
        <v>Low</v>
      </c>
      <c r="G14" s="6" t="str">
        <f t="shared" si="1"/>
        <v>Monitoring</v>
      </c>
      <c r="H14" s="7" t="s">
        <v>35</v>
      </c>
    </row>
    <row r="16" spans="1:8" ht="15.75" x14ac:dyDescent="0.25">
      <c r="A16" s="10" t="s">
        <v>36</v>
      </c>
    </row>
    <row r="17" spans="1:4" x14ac:dyDescent="0.25">
      <c r="A17" s="11" t="s">
        <v>37</v>
      </c>
      <c r="D17" s="12">
        <f>SUM(D5:D14)</f>
        <v>191</v>
      </c>
    </row>
    <row r="18" spans="1:4" x14ac:dyDescent="0.25">
      <c r="A18" s="11" t="s">
        <v>38</v>
      </c>
      <c r="D18" s="12">
        <f>COUNTIF(F5:F14,"High")</f>
        <v>4</v>
      </c>
    </row>
    <row r="19" spans="1:4" x14ac:dyDescent="0.25">
      <c r="A19" s="11" t="s">
        <v>39</v>
      </c>
      <c r="D19" s="12">
        <f>COUNTIF(F5:F14,"Medium")</f>
        <v>3</v>
      </c>
    </row>
    <row r="20" spans="1:4" x14ac:dyDescent="0.25">
      <c r="A20" s="11" t="s">
        <v>40</v>
      </c>
      <c r="D20" s="12">
        <f>COUNTIF(F5:F14,"Low")</f>
        <v>3</v>
      </c>
    </row>
    <row r="22" spans="1:4" x14ac:dyDescent="0.25">
      <c r="A22" s="13" t="s">
        <v>41</v>
      </c>
    </row>
    <row r="23" spans="1:4" x14ac:dyDescent="0.25">
      <c r="A23" s="13" t="s">
        <v>42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 Monitoring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2026-10-06T07:57:33Z</dcterms:created>
  <dcterms:modified xsi:type="dcterms:W3CDTF">2026-10-06T08:58:33Z</dcterms:modified>
  <dc:language>en-US</dc:language>
</cp:coreProperties>
</file>