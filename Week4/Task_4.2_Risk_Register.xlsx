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Risk Matrix Gui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<sst xmlns="http://schemas.openxmlformats.org/spreadsheetml/2006/main" count="105" uniqueCount="65">
  <si>
    <t xml:space="preserve">Task 4.2 — Risk Register &amp; Controls Documentation</t>
  </si>
  <si>
    <t xml:space="preserve">Target: OWASP Juice Shop lab | Based on findings from Task 4.1 Structured Security Assessment</t>
  </si>
  <si>
    <t xml:space="preserve">Risk ID</t>
  </si>
  <si>
    <t xml:space="preserve">Finding</t>
  </si>
  <si>
    <t xml:space="preserve">Likelihood</t>
  </si>
  <si>
    <t xml:space="preserve">Impact</t>
  </si>
  <si>
    <t xml:space="preserve">Risk Rating</t>
  </si>
  <si>
    <t xml:space="preserve">Risk Description</t>
  </si>
  <si>
    <t xml:space="preserve">Recommended Control</t>
  </si>
  <si>
    <t xml:space="preserve">Control Type</t>
  </si>
  <si>
    <t xml:space="preserve">Owner</t>
  </si>
  <si>
    <t xml:space="preserve">R-01</t>
  </si>
  <si>
    <t xml:space="preserve">SQL Injection (login bypass) — F-01</t>
  </si>
  <si>
    <t xml:space="preserve">High</t>
  </si>
  <si>
    <t xml:space="preserve">Severe</t>
  </si>
  <si>
    <t xml:space="preserve">Critical</t>
  </si>
  <si>
    <t xml:space="preserve">Login form accepts raw SQL in input, allowing full authentication bypass without valid credentials.</t>
  </si>
  <si>
    <t xml:space="preserve">Use parameterized queries/prepared statements for all database calls; apply strict input validation on login fields.</t>
  </si>
  <si>
    <t xml:space="preserve">Preventive</t>
  </si>
  <si>
    <t xml:space="preserve">Dev Team</t>
  </si>
  <si>
    <t xml:space="preserve">R-02</t>
  </si>
  <si>
    <t xml:space="preserve">Cross-Site Scripting (XSS) — F-02</t>
  </si>
  <si>
    <t xml:space="preserve">Medium</t>
  </si>
  <si>
    <t xml:space="preserve">Search field renders unsanitized HTML/JS, allowing arbitrary script execution in a victim's browser.</t>
  </si>
  <si>
    <t xml:space="preserve">Sanitize and encode all user input before rendering to the DOM; implement a strict Content-Security-Policy.</t>
  </si>
  <si>
    <t xml:space="preserve">R-03</t>
  </si>
  <si>
    <t xml:space="preserve">Insecure session/token handling — F-03</t>
  </si>
  <si>
    <t xml:space="preserve">Session JWT cookie lacks HttpOnly, Secure, and SameSite flags, making it readable by scripts and interceptable over HTTP.</t>
  </si>
  <si>
    <t xml:space="preserve">Set HttpOnly, Secure, and SameSite=Strict/Lax flags on all session cookies.</t>
  </si>
  <si>
    <t xml:space="preserve">R-04</t>
  </si>
  <si>
    <t xml:space="preserve">Exposed directory with sensitive files (/ftp) — F-04</t>
  </si>
  <si>
    <t xml:space="preserve">The /ftp path is publicly browsable and exposes files that appear to contain credentials, legal documents, and backups.</t>
  </si>
  <si>
    <t xml:space="preserve">Disable directory listing; move sensitive files out of the web root or restrict access with authentication.</t>
  </si>
  <si>
    <t xml:space="preserve">Dev/Infra Team</t>
  </si>
  <si>
    <t xml:space="preserve">R-05</t>
  </si>
  <si>
    <t xml:space="preserve">Missing Content-Security-Policy header — F-05</t>
  </si>
  <si>
    <t xml:space="preserve">Without a CSP, the browser has no restriction on what an injected script (e.g. via XSS) is allowed to do.</t>
  </si>
  <si>
    <t xml:space="preserve">Implement a Content-Security-Policy header restricting script sources to trusted origins only.</t>
  </si>
  <si>
    <t xml:space="preserve">R-06</t>
  </si>
  <si>
    <t xml:space="preserve">Wildcard CORS policy — F-06</t>
  </si>
  <si>
    <t xml:space="preserve">Access-Control-Allow-Origin: * permits any external domain to make requests to the application's API.</t>
  </si>
  <si>
    <t xml:space="preserve">Restrict CORS to a defined allow-list of trusted origins instead of a wildcard.</t>
  </si>
  <si>
    <t xml:space="preserve">R-07</t>
  </si>
  <si>
    <t xml:space="preserve">Information disclosure via robots.txt — F-07</t>
  </si>
  <si>
    <t xml:space="preserve">Low</t>
  </si>
  <si>
    <t xml:space="preserve">robots.txt lists a disallowed /ftp path, inadvertently revealing its existence to anyone who checks the file.</t>
  </si>
  <si>
    <t xml:space="preserve">Avoid listing sensitive paths in robots.txt; rely on proper access control rather than obscurity.</t>
  </si>
  <si>
    <t xml:space="preserve">R-08</t>
  </si>
  <si>
    <t xml:space="preserve">Unexpected open port (34979) — F-08</t>
  </si>
  <si>
    <t xml:space="preserve">An unrelated Golang HTTP service is listening on the host, unnecessarily increasing the attack surface.</t>
  </si>
  <si>
    <t xml:space="preserve">Identify the service, disable it if not required, and restrict/firewall any non-essential open ports.</t>
  </si>
  <si>
    <t xml:space="preserve">Infra Team</t>
  </si>
  <si>
    <t xml:space="preserve">Summary</t>
  </si>
  <si>
    <t xml:space="preserve">Total risks logged:</t>
  </si>
  <si>
    <t xml:space="preserve">Critical:</t>
  </si>
  <si>
    <t xml:space="preserve">High:</t>
  </si>
  <si>
    <t xml:space="preserve">Medium:</t>
  </si>
  <si>
    <t xml:space="preserve">Low:</t>
  </si>
  <si>
    <t xml:space="preserve">Risk Rating Matrix (Likelihood x Impact)</t>
  </si>
  <si>
    <t xml:space="preserve">Low Impact</t>
  </si>
  <si>
    <t xml:space="preserve">Medium Impact</t>
  </si>
  <si>
    <t xml:space="preserve">High Impact / Severe</t>
  </si>
  <si>
    <t xml:space="preserve">High Likelihood</t>
  </si>
  <si>
    <t xml:space="preserve">Medium Likelihood</t>
  </si>
  <si>
    <t xml:space="preserve">Low Likelihood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</si>
</sst>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7" min="6" style="0" width="42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35.05" hidden="false" customHeight="fals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5" t="s">
        <v>15</v>
      </c>
      <c r="F5" s="4" t="s">
        <v>16</v>
      </c>
      <c r="G5" s="4" t="s">
        <v>17</v>
      </c>
      <c r="H5" s="4" t="s">
        <v>18</v>
      </c>
      <c r="I5" s="4" t="s">
        <v>19</v>
      </c>
    </row>
    <row r="6" customFormat="false" ht="35.05" hidden="false" customHeight="false" outlineLevel="0" collapsed="false">
      <c r="A6" s="4" t="s">
        <v>20</v>
      </c>
      <c r="B6" s="4" t="s">
        <v>21</v>
      </c>
      <c r="C6" s="4" t="s">
        <v>22</v>
      </c>
      <c r="D6" s="4" t="s">
        <v>13</v>
      </c>
      <c r="E6" s="6" t="s">
        <v>13</v>
      </c>
      <c r="F6" s="4" t="s">
        <v>23</v>
      </c>
      <c r="G6" s="4" t="s">
        <v>24</v>
      </c>
      <c r="H6" s="4" t="s">
        <v>18</v>
      </c>
      <c r="I6" s="4" t="s">
        <v>19</v>
      </c>
    </row>
    <row r="7" customFormat="false" ht="35.05" hidden="false" customHeight="false" outlineLevel="0" collapsed="false">
      <c r="A7" s="4" t="s">
        <v>25</v>
      </c>
      <c r="B7" s="4" t="s">
        <v>26</v>
      </c>
      <c r="C7" s="4" t="s">
        <v>22</v>
      </c>
      <c r="D7" s="4" t="s">
        <v>13</v>
      </c>
      <c r="E7" s="6" t="s">
        <v>13</v>
      </c>
      <c r="F7" s="4" t="s">
        <v>27</v>
      </c>
      <c r="G7" s="4" t="s">
        <v>28</v>
      </c>
      <c r="H7" s="4" t="s">
        <v>18</v>
      </c>
      <c r="I7" s="4" t="s">
        <v>19</v>
      </c>
    </row>
    <row r="8" customFormat="false" ht="35.05" hidden="false" customHeight="false" outlineLevel="0" collapsed="false">
      <c r="A8" s="4" t="s">
        <v>29</v>
      </c>
      <c r="B8" s="4" t="s">
        <v>30</v>
      </c>
      <c r="C8" s="4" t="s">
        <v>13</v>
      </c>
      <c r="D8" s="4" t="s">
        <v>13</v>
      </c>
      <c r="E8" s="6" t="s">
        <v>13</v>
      </c>
      <c r="F8" s="4" t="s">
        <v>31</v>
      </c>
      <c r="G8" s="4" t="s">
        <v>32</v>
      </c>
      <c r="H8" s="4" t="s">
        <v>18</v>
      </c>
      <c r="I8" s="4" t="s">
        <v>33</v>
      </c>
    </row>
    <row r="9" customFormat="false" ht="35.05" hidden="false" customHeight="false" outlineLevel="0" collapsed="false">
      <c r="A9" s="4" t="s">
        <v>34</v>
      </c>
      <c r="B9" s="4" t="s">
        <v>35</v>
      </c>
      <c r="C9" s="4" t="s">
        <v>22</v>
      </c>
      <c r="D9" s="4" t="s">
        <v>22</v>
      </c>
      <c r="E9" s="7" t="s">
        <v>22</v>
      </c>
      <c r="F9" s="4" t="s">
        <v>36</v>
      </c>
      <c r="G9" s="4" t="s">
        <v>37</v>
      </c>
      <c r="H9" s="4" t="s">
        <v>18</v>
      </c>
      <c r="I9" s="4" t="s">
        <v>19</v>
      </c>
    </row>
    <row r="10" customFormat="false" ht="23.85" hidden="false" customHeight="false" outlineLevel="0" collapsed="false">
      <c r="A10" s="4" t="s">
        <v>38</v>
      </c>
      <c r="B10" s="4" t="s">
        <v>39</v>
      </c>
      <c r="C10" s="4" t="s">
        <v>22</v>
      </c>
      <c r="D10" s="4" t="s">
        <v>22</v>
      </c>
      <c r="E10" s="7" t="s">
        <v>22</v>
      </c>
      <c r="F10" s="4" t="s">
        <v>40</v>
      </c>
      <c r="G10" s="4" t="s">
        <v>41</v>
      </c>
      <c r="H10" s="4" t="s">
        <v>18</v>
      </c>
      <c r="I10" s="4" t="s">
        <v>19</v>
      </c>
    </row>
    <row r="11" customFormat="false" ht="35.05" hidden="false" customHeight="false" outlineLevel="0" collapsed="false">
      <c r="A11" s="4" t="s">
        <v>42</v>
      </c>
      <c r="B11" s="4" t="s">
        <v>43</v>
      </c>
      <c r="C11" s="4" t="s">
        <v>44</v>
      </c>
      <c r="D11" s="4" t="s">
        <v>44</v>
      </c>
      <c r="E11" s="8" t="s">
        <v>44</v>
      </c>
      <c r="F11" s="4" t="s">
        <v>45</v>
      </c>
      <c r="G11" s="4" t="s">
        <v>46</v>
      </c>
      <c r="H11" s="4" t="s">
        <v>18</v>
      </c>
      <c r="I11" s="4" t="s">
        <v>19</v>
      </c>
    </row>
    <row r="12" customFormat="false" ht="35.05" hidden="false" customHeight="false" outlineLevel="0" collapsed="false">
      <c r="A12" s="4" t="s">
        <v>47</v>
      </c>
      <c r="B12" s="4" t="s">
        <v>48</v>
      </c>
      <c r="C12" s="4" t="s">
        <v>44</v>
      </c>
      <c r="D12" s="4" t="s">
        <v>44</v>
      </c>
      <c r="E12" s="8" t="s">
        <v>44</v>
      </c>
      <c r="F12" s="4" t="s">
        <v>49</v>
      </c>
      <c r="G12" s="4" t="s">
        <v>50</v>
      </c>
      <c r="H12" s="4" t="s">
        <v>18</v>
      </c>
      <c r="I12" s="4" t="s">
        <v>51</v>
      </c>
    </row>
    <row r="14" customFormat="false" ht="15" hidden="false" customHeight="false" outlineLevel="0" collapsed="false">
      <c r="A14" s="9" t="s">
        <v>52</v>
      </c>
    </row>
    <row r="15" customFormat="false" ht="15" hidden="false" customHeight="false" outlineLevel="0" collapsed="false">
      <c r="A15" s="10" t="s">
        <v>53</v>
      </c>
      <c r="B15" s="11" t="n">
        <f aca="false">COUNTA(A5:A12)</f>
        <v>8</v>
      </c>
    </row>
    <row r="16" customFormat="false" ht="15" hidden="false" customHeight="false" outlineLevel="0" collapsed="false">
      <c r="A16" s="10" t="s">
        <v>54</v>
      </c>
      <c r="B16" s="11" t="n">
        <f aca="false">COUNTIF(E5:E12,"Critical")</f>
        <v>1</v>
      </c>
    </row>
    <row r="17" customFormat="false" ht="15" hidden="false" customHeight="false" outlineLevel="0" collapsed="false">
      <c r="A17" s="10" t="s">
        <v>55</v>
      </c>
      <c r="B17" s="11" t="n">
        <f aca="false">COUNTIF(E5:E12,"High")</f>
        <v>3</v>
      </c>
    </row>
    <row r="18" customFormat="false" ht="15" hidden="false" customHeight="false" outlineLevel="0" collapsed="false">
      <c r="A18" s="10" t="s">
        <v>56</v>
      </c>
      <c r="B18" s="11" t="n">
        <f aca="false">COUNTIF(E5:E12,"Medium")</f>
        <v>2</v>
      </c>
    </row>
    <row r="19" customFormat="false" ht="15" hidden="false" customHeight="false" outlineLevel="0" collapsed="false">
      <c r="A19" s="10" t="s">
        <v>57</v>
      </c>
      <c r="B19" s="11" t="n">
        <f aca="false">COUNTIF(E5:E12,"Low")</f>
        <v>2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58</v>
      </c>
      <c r="B1" s="1"/>
      <c r="C1" s="1"/>
      <c r="D1" s="1"/>
    </row>
    <row r="3" customFormat="false" ht="23.85" hidden="false" customHeight="false" outlineLevel="0" collapsed="false">
      <c r="A3" s="3"/>
      <c r="B3" s="3" t="s">
        <v>59</v>
      </c>
      <c r="C3" s="3" t="s">
        <v>60</v>
      </c>
      <c r="D3" s="3" t="s">
        <v>61</v>
      </c>
    </row>
    <row r="4" customFormat="false" ht="15" hidden="false" customHeight="false" outlineLevel="0" collapsed="false">
      <c r="A4" s="12" t="s">
        <v>62</v>
      </c>
      <c r="B4" s="7" t="s">
        <v>22</v>
      </c>
      <c r="C4" s="6" t="s">
        <v>13</v>
      </c>
      <c r="D4" s="5" t="s">
        <v>15</v>
      </c>
    </row>
    <row r="5" customFormat="false" ht="15" hidden="false" customHeight="false" outlineLevel="0" collapsed="false">
      <c r="A5" s="12" t="s">
        <v>63</v>
      </c>
      <c r="B5" s="8" t="s">
        <v>44</v>
      </c>
      <c r="C5" s="7" t="s">
        <v>22</v>
      </c>
      <c r="D5" s="6" t="s">
        <v>13</v>
      </c>
    </row>
    <row r="6" customFormat="false" ht="15" hidden="false" customHeight="false" outlineLevel="0" collapsed="false">
      <c r="A6" s="12" t="s">
        <v>64</v>
      </c>
      <c r="B6" s="8" t="s">
        <v>44</v>
      </c>
      <c r="C6" s="8" t="s">
        <v>44</v>
      </c>
      <c r="D6" s="7" t="s">
        <v>22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2026-10-12T09:16:42Z</dcterms:created>
  <dc:creator>openpyxl</dc:creator>
  <dc:description/>
  <dc:language>en-US</dc:language>
  <cp:lastModifiedBy/>
  <dcterms:modified xsi:type="dcterms:W3CDTF">2026-10-12T09:16:42Z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